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aif\NurviaTech\Taiwan\Power\"/>
    </mc:Choice>
  </mc:AlternateContent>
  <xr:revisionPtr revIDLastSave="0" documentId="13_ncr:1_{E4AFF7BD-31D1-471A-8718-66C90B32D8E3}" xr6:coauthVersionLast="47" xr6:coauthVersionMax="47" xr10:uidLastSave="{00000000-0000-0000-0000-000000000000}"/>
  <bookViews>
    <workbookView xWindow="0" yWindow="1100" windowWidth="25780" windowHeight="13980" xr2:uid="{79146A7B-216C-480D-AD84-09CD810E6D1F}"/>
  </bookViews>
  <sheets>
    <sheet name="REA TLVR Calculator" sheetId="2" r:id="rId1"/>
    <sheet name="Revision Not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D19" i="2" l="1"/>
  <c r="D25" i="2"/>
  <c r="D20" i="2"/>
  <c r="D18" i="2"/>
  <c r="D17" i="2"/>
  <c r="D32" i="2" s="1"/>
  <c r="D29" i="2" l="1"/>
  <c r="D30" i="2" s="1"/>
  <c r="D22" i="2"/>
  <c r="D26" i="2" s="1"/>
  <c r="D27" i="2" s="1"/>
</calcChain>
</file>

<file path=xl/sharedStrings.xml><?xml version="1.0" encoding="utf-8"?>
<sst xmlns="http://schemas.openxmlformats.org/spreadsheetml/2006/main" count="95" uniqueCount="83">
  <si>
    <t>Renesas TLVR Design Calculator Ver1.3</t>
  </si>
  <si>
    <t>Updated: 8/24/2021</t>
  </si>
  <si>
    <t>Design Inputs</t>
  </si>
  <si>
    <t>Input voltage</t>
  </si>
  <si>
    <t>Vin</t>
  </si>
  <si>
    <t>V</t>
  </si>
  <si>
    <t>Output voltage</t>
  </si>
  <si>
    <t>Vout</t>
  </si>
  <si>
    <t>Switching frequency</t>
  </si>
  <si>
    <t>Fsw</t>
  </si>
  <si>
    <t>kHz</t>
  </si>
  <si>
    <t>Main inductor self-inductance</t>
  </si>
  <si>
    <t>Lp</t>
  </si>
  <si>
    <t>nH</t>
  </si>
  <si>
    <t>Initial selection</t>
  </si>
  <si>
    <t>Coupling factor</t>
  </si>
  <si>
    <t>k</t>
  </si>
  <si>
    <t>Coupling inductance</t>
  </si>
  <si>
    <t>Lc</t>
  </si>
  <si>
    <t>Output load-line</t>
  </si>
  <si>
    <t>LL</t>
  </si>
  <si>
    <t>mOhm</t>
  </si>
  <si>
    <t>Number of phases</t>
  </si>
  <si>
    <t>N</t>
  </si>
  <si>
    <t>Number of secondary loop groups</t>
  </si>
  <si>
    <t>G</t>
  </si>
  <si>
    <t>G=1 for most of designs unless the secondary loop is segmented</t>
  </si>
  <si>
    <t>Max transient load step</t>
  </si>
  <si>
    <t>I_step</t>
  </si>
  <si>
    <t>A</t>
  </si>
  <si>
    <t>Icc_max</t>
  </si>
  <si>
    <t>Imax</t>
  </si>
  <si>
    <t>Estimated ESR at N*fsw</t>
  </si>
  <si>
    <t>ESR</t>
  </si>
  <si>
    <t>Based on output cap and PCB impedance sim; Ref only</t>
  </si>
  <si>
    <t>Estimated ESL at N*fsw</t>
  </si>
  <si>
    <t>ESL</t>
  </si>
  <si>
    <t>pH</t>
  </si>
  <si>
    <t>Intermediate Results</t>
  </si>
  <si>
    <t>Equivalent secondary loop L</t>
  </si>
  <si>
    <t>Leq</t>
  </si>
  <si>
    <t>Switching period</t>
  </si>
  <si>
    <t>Ts</t>
  </si>
  <si>
    <t>us</t>
  </si>
  <si>
    <t>VR duty cycle</t>
  </si>
  <si>
    <t>D</t>
  </si>
  <si>
    <t>Floor function</t>
  </si>
  <si>
    <t>m</t>
  </si>
  <si>
    <t>Lc Rating</t>
  </si>
  <si>
    <t>Steady-state secondary ripple current</t>
  </si>
  <si>
    <t>Lc_ripple</t>
  </si>
  <si>
    <t>Apkpk</t>
  </si>
  <si>
    <t>Transient peak secondary current</t>
  </si>
  <si>
    <t>I_Lc_step</t>
  </si>
  <si>
    <t>Apk</t>
  </si>
  <si>
    <t>Select Lc based on Lc value and I_Lc_step</t>
  </si>
  <si>
    <t>Main L Rating</t>
  </si>
  <si>
    <t>Manetizing ripple current</t>
  </si>
  <si>
    <t>Im_ripple</t>
  </si>
  <si>
    <t>Per-phase ripple current</t>
  </si>
  <si>
    <t>ph_ripple</t>
  </si>
  <si>
    <t>Peak phase current</t>
  </si>
  <si>
    <t>Im_peak</t>
  </si>
  <si>
    <t>Select main L based on Lp value and Iph_peak</t>
  </si>
  <si>
    <t>Output Ripple</t>
  </si>
  <si>
    <t>Total output ripple current</t>
  </si>
  <si>
    <t>Itot_ripple</t>
  </si>
  <si>
    <t>Output ripple voltage [Estimate only]</t>
  </si>
  <si>
    <t>Vo_ripple</t>
  </si>
  <si>
    <t>mV</t>
  </si>
  <si>
    <t>Eq. Transient L</t>
  </si>
  <si>
    <t>Equivalent transient inductance</t>
  </si>
  <si>
    <t>Ltr</t>
  </si>
  <si>
    <t>Assuming all phases are simultaneously ON or OFF</t>
  </si>
  <si>
    <t>Revision Notes</t>
  </si>
  <si>
    <t>Rev. 1-0</t>
  </si>
  <si>
    <t>Intiial release</t>
  </si>
  <si>
    <t>Rev. 1-1</t>
  </si>
  <si>
    <t>Eliminating the intermediate variables</t>
  </si>
  <si>
    <t>Rev. 1-2</t>
  </si>
  <si>
    <t>Adding multiple grouping option</t>
  </si>
  <si>
    <t>Rev. 1-3</t>
  </si>
  <si>
    <t>Correcting Lc rating formula; adding revision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</si>
</sst>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63377788628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1" fillId="2" borderId="1" xfId="1" applyBorder="1" applyProtection="1">
      <protection locked="0"/>
    </xf>
    <xf numFmtId="2" fontId="1" fillId="2" borderId="1" xfId="1" applyNumberFormat="1" applyBorder="1" applyProtection="1">
      <protection locked="0"/>
    </xf>
    <xf numFmtId="0" fontId="3" fillId="2" borderId="1" xfId="1" applyFont="1" applyBorder="1" applyProtection="1">
      <protection locked="0"/>
    </xf>
    <xf numFmtId="164" fontId="1" fillId="2" borderId="1" xfId="1" applyNumberFormat="1" applyBorder="1" applyProtection="1">
      <protection locked="0"/>
    </xf>
    <xf numFmtId="1" fontId="1" fillId="2" borderId="1" xfId="1" applyNumberFormat="1" applyBorder="1" applyProtection="1">
      <protection locked="0"/>
    </xf>
    <xf numFmtId="0" fontId="4" fillId="0" borderId="0" xfId="0" applyFont="1"/>
    <xf numFmtId="0" fontId="0" fillId="0" borderId="1" xfId="0" applyBorder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" fontId="0" fillId="3" borderId="1" xfId="0" applyNumberFormat="1" applyFill="1" applyBorder="1" applyProtection="1">
      <protection hidden="1"/>
    </xf>
    <xf numFmtId="2" fontId="0" fillId="4" borderId="1" xfId="0" applyNumberFormat="1" applyFill="1" applyBorder="1" applyProtection="1">
      <protection hidden="1"/>
    </xf>
    <xf numFmtId="0" fontId="0" fillId="3" borderId="1" xfId="0" applyFill="1" applyBorder="1" applyProtection="1">
      <protection hidden="1"/>
    </xf>
    <xf numFmtId="0" fontId="0" fillId="0" borderId="0" xfId="0" applyProtection="1">
      <protection hidden="1"/>
    </xf>
    <xf numFmtId="2" fontId="0" fillId="3" borderId="1" xfId="0" applyNumberFormat="1" applyFill="1" applyBorder="1" applyProtection="1">
      <protection hidden="1"/>
    </xf>
    <xf numFmtId="164" fontId="3" fillId="4" borderId="1" xfId="0" applyNumberFormat="1" applyFont="1" applyFill="1" applyBorder="1" applyProtection="1">
      <protection hidden="1"/>
    </xf>
    <xf numFmtId="0" fontId="3" fillId="0" borderId="0" xfId="0" applyFont="1" applyProtection="1">
      <protection hidden="1"/>
    </xf>
    <xf numFmtId="2" fontId="3" fillId="3" borderId="1" xfId="0" applyNumberFormat="1" applyFont="1" applyFill="1" applyBorder="1" applyProtection="1">
      <protection hidden="1"/>
    </xf>
    <xf numFmtId="2" fontId="3" fillId="4" borderId="1" xfId="0" applyNumberFormat="1" applyFont="1" applyFill="1" applyBorder="1" applyProtection="1">
      <protection hidden="1"/>
    </xf>
    <xf numFmtId="15" fontId="0" fillId="0" borderId="0" xfId="0" applyNumberFormat="1" applyAlignment="1">
      <alignment horizontal="right"/>
    </xf>
    <xf numFmtId="0" fontId="2" fillId="0" borderId="0" xfId="0" applyFont="1"/>
    <xf numFmtId="14" fontId="0" fillId="0" borderId="0" xfId="0" applyNumberFormat="1"/>
    <xf numFmtId="0" fontId="2" fillId="0" borderId="2" xfId="0" applyFont="1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2E0F-9587-4CA2-855A-A3543AD5B7FB}">
  <dimension ref="A1:F32"/>
  <sheetViews>
    <sheetView tabSelected="1" zoomScale="98" zoomScaleNormal="98" workbookViewId="0">
      <selection activeCell="J23" sqref="J23"/>
    </sheetView>
  </sheetViews>
  <sheetFormatPr defaultRowHeight="14.45"/>
  <cols>
    <col min="1" max="1" width="13.85546875" customWidth="1"/>
    <col min="2" max="2" width="32.140625" customWidth="1"/>
    <col min="3" max="3" width="9.5703125" customWidth="1"/>
    <col min="4" max="4" width="13.42578125" customWidth="1"/>
    <col min="6" max="6" width="54.42578125" customWidth="1"/>
  </cols>
  <sheetData>
    <row r="1" spans="1:6" ht="23.45">
      <c r="B1" s="6" t="s">
        <v>0</v>
      </c>
      <c r="F1" s="19" t="s">
        <v>1</v>
      </c>
    </row>
    <row r="3" spans="1:6">
      <c r="A3" s="22" t="s">
        <v>2</v>
      </c>
      <c r="B3" s="7" t="s">
        <v>3</v>
      </c>
      <c r="C3" s="7" t="s">
        <v>4</v>
      </c>
      <c r="D3" s="1">
        <v>12</v>
      </c>
      <c r="E3" s="7" t="s">
        <v>5</v>
      </c>
    </row>
    <row r="4" spans="1:6">
      <c r="A4" s="23"/>
      <c r="B4" s="7" t="s">
        <v>6</v>
      </c>
      <c r="C4" s="7" t="s">
        <v>7</v>
      </c>
      <c r="D4" s="1">
        <v>0.7</v>
      </c>
      <c r="E4" s="7" t="s">
        <v>5</v>
      </c>
    </row>
    <row r="5" spans="1:6">
      <c r="A5" s="23"/>
      <c r="B5" s="7" t="s">
        <v>8</v>
      </c>
      <c r="C5" s="7" t="s">
        <v>9</v>
      </c>
      <c r="D5" s="1">
        <v>600</v>
      </c>
      <c r="E5" s="7" t="s">
        <v>10</v>
      </c>
    </row>
    <row r="6" spans="1:6">
      <c r="A6" s="23"/>
      <c r="B6" s="7" t="s">
        <v>11</v>
      </c>
      <c r="C6" s="7" t="s">
        <v>12</v>
      </c>
      <c r="D6" s="1">
        <v>70</v>
      </c>
      <c r="E6" s="7" t="s">
        <v>13</v>
      </c>
      <c r="F6" t="s">
        <v>14</v>
      </c>
    </row>
    <row r="7" spans="1:6">
      <c r="A7" s="23"/>
      <c r="B7" s="7" t="s">
        <v>15</v>
      </c>
      <c r="C7" s="7" t="s">
        <v>16</v>
      </c>
      <c r="D7" s="2">
        <v>0.95</v>
      </c>
      <c r="E7" s="7"/>
    </row>
    <row r="8" spans="1:6">
      <c r="A8" s="23"/>
      <c r="B8" s="7" t="s">
        <v>17</v>
      </c>
      <c r="C8" s="7" t="s">
        <v>18</v>
      </c>
      <c r="D8" s="3">
        <v>200</v>
      </c>
      <c r="E8" s="7" t="s">
        <v>13</v>
      </c>
      <c r="F8" t="s">
        <v>14</v>
      </c>
    </row>
    <row r="9" spans="1:6">
      <c r="A9" s="23"/>
      <c r="B9" s="7" t="s">
        <v>19</v>
      </c>
      <c r="C9" s="7" t="s">
        <v>20</v>
      </c>
      <c r="D9" s="4">
        <v>5.8999999999999997E-2</v>
      </c>
      <c r="E9" s="7" t="s">
        <v>21</v>
      </c>
    </row>
    <row r="10" spans="1:6">
      <c r="A10" s="23"/>
      <c r="B10" s="7" t="s">
        <v>22</v>
      </c>
      <c r="C10" s="7" t="s">
        <v>23</v>
      </c>
      <c r="D10" s="5">
        <v>16</v>
      </c>
      <c r="E10" s="7"/>
    </row>
    <row r="11" spans="1:6">
      <c r="A11" s="23"/>
      <c r="B11" s="7" t="s">
        <v>24</v>
      </c>
      <c r="C11" s="7" t="s">
        <v>25</v>
      </c>
      <c r="D11" s="5">
        <v>2</v>
      </c>
      <c r="E11" s="7"/>
      <c r="F11" t="s">
        <v>26</v>
      </c>
    </row>
    <row r="12" spans="1:6">
      <c r="A12" s="23"/>
      <c r="B12" s="7" t="s">
        <v>27</v>
      </c>
      <c r="C12" s="7" t="s">
        <v>28</v>
      </c>
      <c r="D12" s="1">
        <v>600</v>
      </c>
      <c r="E12" s="7" t="s">
        <v>29</v>
      </c>
    </row>
    <row r="13" spans="1:6">
      <c r="A13" s="23"/>
      <c r="B13" s="7" t="s">
        <v>30</v>
      </c>
      <c r="C13" s="7" t="s">
        <v>31</v>
      </c>
      <c r="D13" s="1">
        <v>1280</v>
      </c>
      <c r="E13" s="7" t="s">
        <v>29</v>
      </c>
    </row>
    <row r="14" spans="1:6">
      <c r="A14" s="23"/>
      <c r="B14" s="7" t="s">
        <v>32</v>
      </c>
      <c r="C14" s="7" t="s">
        <v>33</v>
      </c>
      <c r="D14" s="2">
        <v>0.5</v>
      </c>
      <c r="E14" s="7" t="s">
        <v>21</v>
      </c>
      <c r="F14" t="s">
        <v>34</v>
      </c>
    </row>
    <row r="15" spans="1:6">
      <c r="A15" s="24"/>
      <c r="B15" s="7" t="s">
        <v>35</v>
      </c>
      <c r="C15" s="7" t="s">
        <v>36</v>
      </c>
      <c r="D15" s="5">
        <v>100</v>
      </c>
      <c r="E15" s="7" t="s">
        <v>37</v>
      </c>
      <c r="F15" t="s">
        <v>34</v>
      </c>
    </row>
    <row r="17" spans="1:6">
      <c r="A17" s="25" t="s">
        <v>38</v>
      </c>
      <c r="B17" s="7" t="s">
        <v>39</v>
      </c>
      <c r="C17" s="7" t="s">
        <v>40</v>
      </c>
      <c r="D17" s="10">
        <f>(1-D7^2)*D6*D10/D11+D8</f>
        <v>254.60000000000002</v>
      </c>
      <c r="E17" s="7" t="s">
        <v>13</v>
      </c>
    </row>
    <row r="18" spans="1:6">
      <c r="A18" s="26"/>
      <c r="B18" s="7" t="s">
        <v>41</v>
      </c>
      <c r="C18" s="7" t="s">
        <v>42</v>
      </c>
      <c r="D18" s="11">
        <f>1/D5*1000</f>
        <v>1.6666666666666667</v>
      </c>
      <c r="E18" s="7" t="s">
        <v>43</v>
      </c>
    </row>
    <row r="19" spans="1:6">
      <c r="A19" s="26"/>
      <c r="B19" s="7" t="s">
        <v>44</v>
      </c>
      <c r="C19" s="7" t="s">
        <v>45</v>
      </c>
      <c r="D19" s="12">
        <f>D4/D3</f>
        <v>5.8333333333333327E-2</v>
      </c>
      <c r="E19" s="7"/>
    </row>
    <row r="20" spans="1:6">
      <c r="A20" s="26"/>
      <c r="B20" s="7" t="s">
        <v>46</v>
      </c>
      <c r="C20" s="7" t="s">
        <v>47</v>
      </c>
      <c r="D20" s="12">
        <f>_xlfn.FLOOR.MATH(D10*(D4/D3))</f>
        <v>0</v>
      </c>
      <c r="E20" s="7"/>
    </row>
    <row r="21" spans="1:6">
      <c r="A21" s="8"/>
      <c r="D21" s="13"/>
    </row>
    <row r="22" spans="1:6">
      <c r="A22" s="26" t="s">
        <v>48</v>
      </c>
      <c r="B22" s="7" t="s">
        <v>49</v>
      </c>
      <c r="C22" s="7" t="s">
        <v>50</v>
      </c>
      <c r="D22" s="14">
        <f>(D7*D3*((_xlfn.FLOOR.MATH(D10/D11*D19)+1)-D19*(D10/D11))*(D19-_xlfn.FLOOR.MATH(D10/D11*D19)/(D10/D11)))/(D17*D5)*1000000</f>
        <v>2.3217247097844109</v>
      </c>
      <c r="E22" s="7" t="s">
        <v>51</v>
      </c>
    </row>
    <row r="23" spans="1:6">
      <c r="A23" s="26"/>
      <c r="B23" s="7" t="s">
        <v>52</v>
      </c>
      <c r="C23" s="7" t="s">
        <v>53</v>
      </c>
      <c r="D23" s="18">
        <f>D7*D6*(D12/D11)/(D8+(D10/D11)*D6)</f>
        <v>26.25</v>
      </c>
      <c r="E23" s="7" t="s">
        <v>54</v>
      </c>
      <c r="F23" t="s">
        <v>55</v>
      </c>
    </row>
    <row r="24" spans="1:6">
      <c r="A24" s="8"/>
      <c r="D24" s="16"/>
    </row>
    <row r="25" spans="1:6">
      <c r="A25" s="26" t="s">
        <v>56</v>
      </c>
      <c r="B25" s="7" t="s">
        <v>57</v>
      </c>
      <c r="C25" s="7" t="s">
        <v>58</v>
      </c>
      <c r="D25" s="17">
        <f>((D3-D4)*D4)/(D3*D6*D5)*1000000</f>
        <v>15.694444444444446</v>
      </c>
      <c r="E25" s="7" t="s">
        <v>51</v>
      </c>
    </row>
    <row r="26" spans="1:6">
      <c r="A26" s="26"/>
      <c r="B26" s="7" t="s">
        <v>59</v>
      </c>
      <c r="C26" s="7" t="s">
        <v>60</v>
      </c>
      <c r="D26" s="17">
        <f>D7*D22+D25</f>
        <v>17.900082918739635</v>
      </c>
      <c r="E26" s="7" t="s">
        <v>51</v>
      </c>
    </row>
    <row r="27" spans="1:6">
      <c r="A27" s="26"/>
      <c r="B27" s="7" t="s">
        <v>61</v>
      </c>
      <c r="C27" s="7" t="s">
        <v>62</v>
      </c>
      <c r="D27" s="17">
        <f>(D13/D10)+(D26/2)</f>
        <v>88.950041459369814</v>
      </c>
      <c r="E27" s="7" t="s">
        <v>51</v>
      </c>
      <c r="F27" t="s">
        <v>63</v>
      </c>
    </row>
    <row r="28" spans="1:6">
      <c r="A28" s="8"/>
      <c r="D28" s="16"/>
    </row>
    <row r="29" spans="1:6">
      <c r="A29" s="26" t="s">
        <v>64</v>
      </c>
      <c r="B29" s="7" t="s">
        <v>65</v>
      </c>
      <c r="C29" s="7" t="s">
        <v>66</v>
      </c>
      <c r="D29" s="17">
        <f>(D3/D5*1000)*(D19*D10-D20)*((1+D20)/D10-D19)*(D7^2*(D10/D11)/D17+1/D6)*1000</f>
        <v>3.3167495854063058</v>
      </c>
      <c r="E29" s="7" t="s">
        <v>51</v>
      </c>
    </row>
    <row r="30" spans="1:6">
      <c r="A30" s="26"/>
      <c r="B30" s="7" t="s">
        <v>67</v>
      </c>
      <c r="C30" s="7" t="s">
        <v>68</v>
      </c>
      <c r="D30" s="17">
        <f>D29*D14+D29/D18/(D19-D20/D10)*D15*0.001</f>
        <v>5.0698886519782107</v>
      </c>
      <c r="E30" s="7" t="s">
        <v>69</v>
      </c>
    </row>
    <row r="31" spans="1:6">
      <c r="A31" s="8"/>
      <c r="D31" s="16"/>
    </row>
    <row r="32" spans="1:6">
      <c r="A32" s="9" t="s">
        <v>70</v>
      </c>
      <c r="B32" s="7" t="s">
        <v>71</v>
      </c>
      <c r="C32" s="7" t="s">
        <v>72</v>
      </c>
      <c r="D32" s="15">
        <f>D17*(D6/(D8+D10/D11*D6))</f>
        <v>23.45</v>
      </c>
      <c r="E32" s="7" t="s">
        <v>13</v>
      </c>
      <c r="F32" t="s">
        <v>73</v>
      </c>
    </row>
  </sheetData>
  <sheetProtection algorithmName="SHA-512" hashValue="lKvIV8fcRh2KWFLjZpORi2HpQrienLy1sv/ub+D4NUDMuKBKU64ZpjE5GAePpJgaZwQuW+6EjjkNesFFnxYKBg==" saltValue="/sU/RkXskUjMM1iS0PoM4g==" spinCount="100000" sheet="1" objects="1" scenarios="1"/>
  <mergeCells count="5">
    <mergeCell ref="A3:A15"/>
    <mergeCell ref="A17:A20"/>
    <mergeCell ref="A22:A23"/>
    <mergeCell ref="A25:A27"/>
    <mergeCell ref="A29:A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76F9-850A-4695-8588-03826FE595B8}">
  <dimension ref="A1:C6"/>
  <sheetViews>
    <sheetView workbookViewId="0">
      <selection activeCell="B6" sqref="B6"/>
    </sheetView>
  </sheetViews>
  <sheetFormatPr defaultRowHeight="14.45"/>
  <cols>
    <col min="1" max="1" width="9.42578125" customWidth="1"/>
    <col min="2" max="2" width="13.42578125" customWidth="1"/>
    <col min="3" max="3" width="45" customWidth="1"/>
  </cols>
  <sheetData>
    <row r="1" spans="1:3">
      <c r="A1" s="20" t="s">
        <v>74</v>
      </c>
    </row>
    <row r="3" spans="1:3">
      <c r="A3" t="s">
        <v>75</v>
      </c>
      <c r="B3" s="21">
        <v>44091</v>
      </c>
      <c r="C3" t="s">
        <v>76</v>
      </c>
    </row>
    <row r="4" spans="1:3">
      <c r="A4" t="s">
        <v>77</v>
      </c>
      <c r="B4" s="21">
        <v>44263</v>
      </c>
      <c r="C4" t="s">
        <v>78</v>
      </c>
    </row>
    <row r="5" spans="1:3">
      <c r="A5" t="s">
        <v>79</v>
      </c>
      <c r="B5" s="21">
        <v>44327</v>
      </c>
      <c r="C5" t="s">
        <v>80</v>
      </c>
    </row>
    <row r="6" spans="1:3">
      <c r="A6" t="s">
        <v>81</v>
      </c>
      <c r="B6" s="21">
        <v>44432</v>
      </c>
      <c r="C6" t="s">
        <v>82</v>
      </c>
    </row>
  </sheetData>
  <sheetProtection algorithmName="SHA-512" hashValue="UgLbWRPbPPSInY8kmZBwdyDCX+YfxJ8V7LkislCLLmxlocBTT7s1SEI4vYO1KIiUA0dD9NAttI5iACZCnwaPwQ==" saltValue="GKzfBk8NbB+qKyeIzt/hY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Renesas Electronics America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Kunrong Wang</dc:creator>
  <cp:keywords/>
  <dc:description/>
  <cp:lastModifiedBy>Guest User</cp:lastModifiedBy>
  <cp:revision/>
  <dcterms:created xsi:type="dcterms:W3CDTF">2021-03-08T23:30:39Z</dcterms:created>
  <dcterms:modified xsi:type="dcterms:W3CDTF">2026-07-30T08:08:31Z</dcterms:modified>
  <cp:category/>
  <cp:contentStatus/>
</cp:coreProperties>
</file>